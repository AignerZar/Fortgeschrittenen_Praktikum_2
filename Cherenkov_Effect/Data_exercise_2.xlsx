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Blatt 1 - Aufgabe 2" sheetId="1" r:id="rId5"/>
  </sheets>
</workbook>
</file>

<file path=xl/metadata.xml><?xml version="1.0" encoding="utf-8"?>
<metadata xmlns:xda="http://schemas.microsoft.com/office/spreadsheetml/2017/dynamicarray" xmlns="http://schemas.openxmlformats.org/spreadsheetml/2006/main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<sst xmlns="http://schemas.openxmlformats.org/spreadsheetml/2006/main" uniqueCount="44">
  <si>
    <t>Aufgabe 2</t>
  </si>
  <si>
    <t>Datenaufnahme</t>
  </si>
  <si>
    <t>Messung</t>
  </si>
  <si>
    <t>Zeitdifferenz ns</t>
  </si>
  <si>
    <t>Position x1</t>
  </si>
  <si>
    <t>Position x2</t>
  </si>
  <si>
    <t>Tek00006</t>
  </si>
  <si>
    <t>431.0</t>
  </si>
  <si>
    <t>531.3</t>
  </si>
  <si>
    <t>430.9</t>
  </si>
  <si>
    <t>529.0</t>
  </si>
  <si>
    <t>431.7</t>
  </si>
  <si>
    <t>531.4</t>
  </si>
  <si>
    <t xml:space="preserve">530.6 </t>
  </si>
  <si>
    <t xml:space="preserve"> 529.8 </t>
  </si>
  <si>
    <t>Tek00008</t>
  </si>
  <si>
    <t>440.9</t>
  </si>
  <si>
    <t xml:space="preserve">517.3 </t>
  </si>
  <si>
    <t>442.5</t>
  </si>
  <si>
    <t>517.3</t>
  </si>
  <si>
    <t xml:space="preserve">440.9 </t>
  </si>
  <si>
    <t>519.8</t>
  </si>
  <si>
    <t>441.7</t>
  </si>
  <si>
    <t>519.0</t>
  </si>
  <si>
    <t>Tek00009</t>
  </si>
  <si>
    <t>445.8</t>
  </si>
  <si>
    <t>520.6</t>
  </si>
  <si>
    <t>446.7</t>
  </si>
  <si>
    <t>521.5</t>
  </si>
  <si>
    <t>444.2</t>
  </si>
  <si>
    <t xml:space="preserve">521.5 </t>
  </si>
  <si>
    <t>445.0</t>
  </si>
  <si>
    <t>Tek00010</t>
  </si>
  <si>
    <t>410.9</t>
  </si>
  <si>
    <t>513.2</t>
  </si>
  <si>
    <t>411.8</t>
  </si>
  <si>
    <t xml:space="preserve">514.8 </t>
  </si>
  <si>
    <t>409.3</t>
  </si>
  <si>
    <t xml:space="preserve"> 514.0 </t>
  </si>
  <si>
    <t>410.1</t>
  </si>
  <si>
    <t xml:space="preserve">513.2 </t>
  </si>
  <si>
    <t xml:space="preserve"> 410.1</t>
  </si>
  <si>
    <t>515.7</t>
  </si>
  <si>
    <t>Dieser fehler gilt für alle Messungen</t>
  </si>
</sst>
</file>

<file path=xl/styles.xml><?xml version="1.0" encoding="utf-8"?>
<styleSheet xmlns="http://schemas.openxmlformats.org/spreadsheetml/2006/main">
  <numFmts count="2">
    <numFmt numFmtId="0" formatCode="General"/>
    <numFmt numFmtId="59" formatCode="#,##0.0"/>
  </numFmts>
  <fonts count="3">
    <font>
      <sz val="10"/>
      <color indexed="8"/>
      <name val="Helvetica Neue"/>
    </font>
    <font>
      <sz val="12"/>
      <color indexed="8"/>
      <name val="Helvetica Neue"/>
    </font>
    <font>
      <b val="1"/>
      <sz val="10"/>
      <color indexed="8"/>
      <name val="Helvetica Neue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19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1" applyNumberFormat="0" applyFont="1" applyFill="0" applyBorder="0" applyAlignment="1" applyProtection="0">
      <alignment horizontal="center" vertical="center"/>
    </xf>
    <xf numFmtId="49" fontId="2" fillId="2" borderId="1" applyNumberFormat="1" applyFont="1" applyFill="1" applyBorder="1" applyAlignment="1" applyProtection="0">
      <alignment vertical="top" wrapText="1"/>
    </xf>
    <xf numFmtId="0" fontId="2" fillId="2" borderId="1" applyNumberFormat="0" applyFont="1" applyFill="1" applyBorder="1" applyAlignment="1" applyProtection="0">
      <alignment vertical="top" wrapText="1"/>
    </xf>
    <xf numFmtId="49" fontId="2" fillId="3" borderId="2" applyNumberFormat="1" applyFont="1" applyFill="1" applyBorder="1" applyAlignment="1" applyProtection="0">
      <alignment vertical="top" wrapText="1"/>
    </xf>
    <xf numFmtId="0" fontId="0" borderId="3" applyNumberFormat="1" applyFont="1" applyFill="0" applyBorder="1" applyAlignment="1" applyProtection="0">
      <alignment vertical="top" wrapText="1"/>
    </xf>
    <xf numFmtId="3" fontId="0" borderId="4" applyNumberFormat="1" applyFont="1" applyFill="0" applyBorder="1" applyAlignment="1" applyProtection="0">
      <alignment vertical="top" wrapText="1"/>
    </xf>
    <xf numFmtId="49" fontId="0" borderId="4" applyNumberFormat="1" applyFont="1" applyFill="0" applyBorder="1" applyAlignment="1" applyProtection="0">
      <alignment vertical="top" wrapText="1"/>
    </xf>
    <xf numFmtId="0" fontId="0" borderId="4" applyNumberFormat="0" applyFont="1" applyFill="0" applyBorder="1" applyAlignment="1" applyProtection="0">
      <alignment vertical="top" wrapText="1"/>
    </xf>
    <xf numFmtId="0" fontId="2" fillId="3" borderId="5" applyNumberFormat="0" applyFont="1" applyFill="1" applyBorder="1" applyAlignment="1" applyProtection="0">
      <alignment vertical="top" wrapText="1"/>
    </xf>
    <xf numFmtId="0" fontId="0" borderId="6" applyNumberFormat="1" applyFont="1" applyFill="0" applyBorder="1" applyAlignment="1" applyProtection="0">
      <alignment vertical="top" wrapText="1"/>
    </xf>
    <xf numFmtId="3" fontId="0" borderId="7" applyNumberFormat="1" applyFont="1" applyFill="0" applyBorder="1" applyAlignment="1" applyProtection="0">
      <alignment vertical="top" wrapText="1"/>
    </xf>
    <xf numFmtId="49" fontId="0" borderId="7" applyNumberFormat="1" applyFont="1" applyFill="0" applyBorder="1" applyAlignment="1" applyProtection="0">
      <alignment vertical="top" wrapText="1"/>
    </xf>
    <xf numFmtId="0" fontId="0" borderId="7" applyNumberFormat="0" applyFont="1" applyFill="0" applyBorder="1" applyAlignment="1" applyProtection="0">
      <alignment vertical="top" wrapText="1"/>
    </xf>
    <xf numFmtId="0" fontId="0" borderId="6" applyNumberFormat="0" applyFont="1" applyFill="0" applyBorder="1" applyAlignment="1" applyProtection="0">
      <alignment vertical="top" wrapText="1"/>
    </xf>
    <xf numFmtId="59" fontId="0" borderId="7" applyNumberFormat="1" applyFont="1" applyFill="0" applyBorder="1" applyAlignment="1" applyProtection="0">
      <alignment vertical="top" wrapText="1"/>
    </xf>
    <xf numFmtId="49" fontId="2" fillId="3" borderId="5" applyNumberFormat="1" applyFont="1" applyFill="1" applyBorder="1" applyAlignment="1" applyProtection="0">
      <alignment vertical="top" wrapText="1"/>
    </xf>
    <xf numFmtId="0" fontId="0" borderId="7" applyNumberFormat="1" applyFont="1" applyFill="0" applyBorder="1" applyAlignment="1" applyProtection="0">
      <alignment vertical="top" wrapText="1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heetMetadata" Target="metadata.xml"/><Relationship Id="rId3" Type="http://schemas.openxmlformats.org/officeDocument/2006/relationships/styles" Target="styles.xml"/><Relationship Id="rId4" Type="http://schemas.openxmlformats.org/officeDocument/2006/relationships/theme" Target="theme/theme1.xml"/><Relationship Id="rId5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200" u="none" kumimoji="0" normalizeH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2:G42"/>
  <sheetViews>
    <sheetView workbookViewId="0" showGridLines="0" defaultGridColor="1">
      <pane topLeftCell="B3" xSplit="1" ySplit="2" activePane="bottomRight" state="frozen"/>
    </sheetView>
  </sheetViews>
  <sheetFormatPr defaultColWidth="16.3333" defaultRowHeight="19.9" customHeight="1" outlineLevelRow="0" outlineLevelCol="0"/>
  <cols>
    <col min="1" max="7" width="16.3516" style="1" customWidth="1"/>
    <col min="8" max="16384" width="16.3516" style="1" customWidth="1"/>
  </cols>
  <sheetData>
    <row r="1" ht="27.65" customHeight="1">
      <c r="A1" t="s" s="2">
        <v>0</v>
      </c>
      <c r="B1" s="2"/>
      <c r="C1" s="2"/>
      <c r="D1" s="2"/>
      <c r="E1" s="2"/>
      <c r="F1" s="2"/>
      <c r="G1" s="2"/>
    </row>
    <row r="2" ht="20.25" customHeight="1">
      <c r="A2" t="s" s="3">
        <v>1</v>
      </c>
      <c r="B2" t="s" s="3">
        <v>2</v>
      </c>
      <c r="C2" t="s" s="3">
        <v>3</v>
      </c>
      <c r="D2" t="s" s="3">
        <v>4</v>
      </c>
      <c r="E2" t="s" s="3">
        <v>5</v>
      </c>
      <c r="F2" s="4"/>
      <c r="G2" s="4"/>
    </row>
    <row r="3" ht="20.25" customHeight="1">
      <c r="A3" t="s" s="5">
        <v>6</v>
      </c>
      <c r="B3" s="6">
        <v>1</v>
      </c>
      <c r="C3" s="7">
        <v>3920</v>
      </c>
      <c r="D3" t="s" s="8">
        <v>7</v>
      </c>
      <c r="E3" t="s" s="8">
        <v>8</v>
      </c>
      <c r="F3" s="9"/>
      <c r="G3" s="9"/>
    </row>
    <row r="4" ht="20.05" customHeight="1">
      <c r="A4" s="10"/>
      <c r="B4" s="11">
        <v>2</v>
      </c>
      <c r="C4" s="12">
        <v>3831</v>
      </c>
      <c r="D4" t="s" s="13">
        <v>9</v>
      </c>
      <c r="E4" t="s" s="13">
        <v>10</v>
      </c>
      <c r="F4" s="14"/>
      <c r="G4" s="14"/>
    </row>
    <row r="5" ht="20.05" customHeight="1">
      <c r="A5" s="10"/>
      <c r="B5" s="11">
        <v>3</v>
      </c>
      <c r="C5" s="12">
        <v>3896</v>
      </c>
      <c r="D5" t="s" s="13">
        <v>11</v>
      </c>
      <c r="E5" t="s" s="13">
        <v>12</v>
      </c>
      <c r="F5" s="14"/>
      <c r="G5" s="14"/>
    </row>
    <row r="6" ht="20.05" customHeight="1">
      <c r="A6" s="10"/>
      <c r="B6" s="11">
        <v>4</v>
      </c>
      <c r="C6" s="12">
        <v>3896</v>
      </c>
      <c r="D6" t="s" s="13">
        <v>9</v>
      </c>
      <c r="E6" t="s" s="13">
        <v>13</v>
      </c>
      <c r="F6" s="14"/>
      <c r="G6" s="14"/>
    </row>
    <row r="7" ht="20.05" customHeight="1">
      <c r="A7" s="10"/>
      <c r="B7" s="11">
        <v>5</v>
      </c>
      <c r="C7" s="12">
        <v>3864</v>
      </c>
      <c r="D7" t="s" s="13">
        <v>9</v>
      </c>
      <c r="E7" t="s" s="13">
        <v>14</v>
      </c>
      <c r="F7" s="14"/>
      <c r="G7" s="14"/>
    </row>
    <row r="8" ht="20.05" customHeight="1">
      <c r="A8" s="10"/>
      <c r="B8" s="15"/>
      <c r="C8" s="16" cm="1">
        <f t="array" ref="C8">AVERAGE(C3:C7)</f>
        <v>3881.4</v>
      </c>
      <c r="D8" s="14"/>
      <c r="E8" s="14"/>
      <c r="F8" s="14"/>
      <c r="G8" s="14"/>
    </row>
    <row r="9" ht="20.05" customHeight="1">
      <c r="A9" s="10"/>
      <c r="B9" s="15"/>
      <c r="C9" s="14"/>
      <c r="D9" s="14"/>
      <c r="E9" s="14"/>
      <c r="F9" s="14"/>
      <c r="G9" s="14"/>
    </row>
    <row r="10" ht="20.05" customHeight="1">
      <c r="A10" t="s" s="17">
        <v>15</v>
      </c>
      <c r="B10" s="11">
        <v>1</v>
      </c>
      <c r="C10" s="12">
        <v>2987</v>
      </c>
      <c r="D10" t="s" s="13">
        <v>16</v>
      </c>
      <c r="E10" t="s" s="13">
        <v>17</v>
      </c>
      <c r="F10" s="14"/>
      <c r="G10" s="14"/>
    </row>
    <row r="11" ht="20.05" customHeight="1">
      <c r="A11" s="10"/>
      <c r="B11" s="11">
        <v>2</v>
      </c>
      <c r="C11" s="12">
        <v>2922</v>
      </c>
      <c r="D11" t="s" s="13">
        <v>18</v>
      </c>
      <c r="E11" t="s" s="13">
        <v>19</v>
      </c>
      <c r="F11" s="14"/>
      <c r="G11" s="14"/>
    </row>
    <row r="12" ht="20.05" customHeight="1">
      <c r="A12" s="10"/>
      <c r="B12" s="11">
        <v>3</v>
      </c>
      <c r="C12" s="12">
        <v>3084</v>
      </c>
      <c r="D12" t="s" s="13">
        <v>20</v>
      </c>
      <c r="E12" t="s" s="13">
        <v>21</v>
      </c>
      <c r="F12" s="14"/>
      <c r="G12" s="14"/>
    </row>
    <row r="13" ht="20.05" customHeight="1">
      <c r="A13" s="10"/>
      <c r="B13" s="11">
        <v>4</v>
      </c>
      <c r="C13" s="12">
        <v>3019</v>
      </c>
      <c r="D13" t="s" s="13">
        <v>22</v>
      </c>
      <c r="E13" t="s" s="13">
        <v>23</v>
      </c>
      <c r="F13" s="14"/>
      <c r="G13" s="14"/>
    </row>
    <row r="14" ht="20.05" customHeight="1">
      <c r="A14" s="10"/>
      <c r="B14" s="11">
        <v>5</v>
      </c>
      <c r="C14" s="12">
        <v>3084</v>
      </c>
      <c r="D14" t="s" s="13">
        <v>16</v>
      </c>
      <c r="E14" t="s" s="13">
        <v>21</v>
      </c>
      <c r="F14" s="14"/>
      <c r="G14" s="14"/>
    </row>
    <row r="15" ht="20.05" customHeight="1">
      <c r="A15" s="10"/>
      <c r="B15" s="15"/>
      <c r="C15" s="16" cm="1">
        <f t="array" ref="C15">AVERAGE(C10:C14)</f>
        <v>3019.2</v>
      </c>
      <c r="D15" s="14"/>
      <c r="E15" s="14"/>
      <c r="F15" s="14"/>
      <c r="G15" s="14"/>
    </row>
    <row r="16" ht="20.05" customHeight="1">
      <c r="A16" s="10"/>
      <c r="B16" s="15"/>
      <c r="C16" s="14"/>
      <c r="D16" s="14"/>
      <c r="E16" s="14"/>
      <c r="F16" s="14"/>
      <c r="G16" s="14"/>
    </row>
    <row r="17" ht="20.05" customHeight="1">
      <c r="A17" t="s" s="17">
        <v>24</v>
      </c>
      <c r="B17" s="11">
        <v>1</v>
      </c>
      <c r="C17" s="12">
        <v>2922</v>
      </c>
      <c r="D17" t="s" s="13">
        <v>25</v>
      </c>
      <c r="E17" t="s" s="13">
        <v>26</v>
      </c>
      <c r="F17" s="14"/>
      <c r="G17" s="14"/>
    </row>
    <row r="18" ht="20.05" customHeight="1">
      <c r="A18" s="10"/>
      <c r="B18" s="11">
        <v>2</v>
      </c>
      <c r="C18" s="12">
        <v>2922</v>
      </c>
      <c r="D18" t="s" s="13">
        <v>27</v>
      </c>
      <c r="E18" t="s" s="13">
        <v>28</v>
      </c>
      <c r="F18" s="14"/>
      <c r="G18" s="14"/>
    </row>
    <row r="19" ht="20.05" customHeight="1">
      <c r="A19" s="10"/>
      <c r="B19" s="11">
        <v>3</v>
      </c>
      <c r="C19" s="12">
        <v>3019</v>
      </c>
      <c r="D19" t="s" s="13">
        <v>29</v>
      </c>
      <c r="E19" t="s" s="13">
        <v>30</v>
      </c>
      <c r="F19" s="14"/>
      <c r="G19" s="14"/>
    </row>
    <row r="20" ht="20.05" customHeight="1">
      <c r="A20" s="10"/>
      <c r="B20" s="11">
        <v>4</v>
      </c>
      <c r="C20" s="12">
        <v>2987</v>
      </c>
      <c r="D20" t="s" s="13">
        <v>31</v>
      </c>
      <c r="E20" t="s" s="13">
        <v>28</v>
      </c>
      <c r="F20" s="14"/>
      <c r="G20" s="14"/>
    </row>
    <row r="21" ht="20.05" customHeight="1">
      <c r="A21" s="10"/>
      <c r="B21" s="11">
        <v>5</v>
      </c>
      <c r="C21" s="12">
        <v>3019</v>
      </c>
      <c r="D21" t="s" s="13">
        <v>18</v>
      </c>
      <c r="E21" t="s" s="13">
        <v>21</v>
      </c>
      <c r="F21" s="14"/>
      <c r="G21" s="14"/>
    </row>
    <row r="22" ht="20.05" customHeight="1">
      <c r="A22" s="10"/>
      <c r="B22" s="15"/>
      <c r="C22" s="16" cm="1">
        <f t="array" ref="C22">AVERAGE(C17:C21)</f>
        <v>2973.8</v>
      </c>
      <c r="D22" s="14"/>
      <c r="E22" s="14"/>
      <c r="F22" s="14"/>
      <c r="G22" s="14"/>
    </row>
    <row r="23" ht="20.05" customHeight="1">
      <c r="A23" s="10"/>
      <c r="B23" s="15"/>
      <c r="C23" s="14"/>
      <c r="D23" s="14"/>
      <c r="E23" s="14"/>
      <c r="F23" s="14"/>
      <c r="G23" s="14"/>
    </row>
    <row r="24" ht="20.05" customHeight="1">
      <c r="A24" t="s" s="17">
        <v>32</v>
      </c>
      <c r="B24" s="11">
        <v>1</v>
      </c>
      <c r="C24" s="12">
        <v>3994</v>
      </c>
      <c r="D24" t="s" s="13">
        <v>33</v>
      </c>
      <c r="E24" t="s" s="13">
        <v>34</v>
      </c>
      <c r="F24" s="14"/>
      <c r="G24" s="14"/>
    </row>
    <row r="25" ht="20.05" customHeight="1">
      <c r="A25" s="10"/>
      <c r="B25" s="11">
        <v>2</v>
      </c>
      <c r="C25" s="12">
        <v>4026</v>
      </c>
      <c r="D25" t="s" s="13">
        <v>35</v>
      </c>
      <c r="E25" t="s" s="13">
        <v>36</v>
      </c>
      <c r="F25" s="14"/>
      <c r="G25" s="14"/>
    </row>
    <row r="26" ht="20.05" customHeight="1">
      <c r="A26" s="10"/>
      <c r="B26" s="11">
        <v>3</v>
      </c>
      <c r="C26" s="12">
        <v>4091</v>
      </c>
      <c r="D26" t="s" s="13">
        <v>37</v>
      </c>
      <c r="E26" t="s" s="13">
        <v>38</v>
      </c>
      <c r="F26" s="14"/>
      <c r="G26" s="14"/>
    </row>
    <row r="27" ht="20.05" customHeight="1">
      <c r="A27" s="10"/>
      <c r="B27" s="11">
        <v>4</v>
      </c>
      <c r="C27" s="12">
        <v>4026</v>
      </c>
      <c r="D27" t="s" s="13">
        <v>39</v>
      </c>
      <c r="E27" t="s" s="13">
        <v>40</v>
      </c>
      <c r="F27" s="14"/>
      <c r="G27" s="14"/>
    </row>
    <row r="28" ht="20.05" customHeight="1">
      <c r="A28" s="10"/>
      <c r="B28" s="11">
        <v>5</v>
      </c>
      <c r="C28" s="12">
        <v>4123</v>
      </c>
      <c r="D28" t="s" s="13">
        <v>41</v>
      </c>
      <c r="E28" t="s" s="13">
        <v>42</v>
      </c>
      <c r="F28" s="14"/>
      <c r="G28" s="14"/>
    </row>
    <row r="29" ht="20.05" customHeight="1">
      <c r="A29" s="10"/>
      <c r="B29" s="15"/>
      <c r="C29" s="12" cm="1">
        <f t="array" ref="C29">AVERAGE(C24:C28)</f>
        <v>4052</v>
      </c>
      <c r="D29" s="14"/>
      <c r="E29" s="14"/>
      <c r="F29" s="14"/>
      <c r="G29" s="14"/>
    </row>
    <row r="30" ht="20.05" customHeight="1">
      <c r="A30" s="10"/>
      <c r="B30" s="15"/>
      <c r="C30" s="14"/>
      <c r="D30" s="14"/>
      <c r="E30" s="14"/>
      <c r="F30" s="14"/>
      <c r="G30" s="14"/>
    </row>
    <row r="31" ht="20.05" customHeight="1">
      <c r="A31" s="10"/>
      <c r="B31" s="15"/>
      <c r="C31" s="18">
        <v>0.055</v>
      </c>
      <c r="D31" s="14"/>
      <c r="E31" s="14"/>
      <c r="F31" s="14"/>
      <c r="G31" s="14"/>
    </row>
    <row r="32" ht="20.05" customHeight="1">
      <c r="A32" s="10"/>
      <c r="B32" s="15"/>
      <c r="C32" s="18">
        <v>0.055</v>
      </c>
      <c r="D32" s="14"/>
      <c r="E32" s="14"/>
      <c r="F32" s="14"/>
      <c r="G32" s="14"/>
    </row>
    <row r="33" ht="20.05" customHeight="1">
      <c r="A33" s="10"/>
      <c r="B33" s="15"/>
      <c r="C33" s="18">
        <v>0.055</v>
      </c>
      <c r="D33" s="14"/>
      <c r="E33" s="14"/>
      <c r="F33" s="14"/>
      <c r="G33" s="14"/>
    </row>
    <row r="34" ht="20.05" customHeight="1">
      <c r="A34" s="10"/>
      <c r="B34" s="15"/>
      <c r="C34" s="18">
        <v>0.055</v>
      </c>
      <c r="D34" s="14"/>
      <c r="E34" s="14"/>
      <c r="F34" s="14"/>
      <c r="G34" s="14"/>
    </row>
    <row r="35" ht="20.05" customHeight="1">
      <c r="A35" s="10"/>
      <c r="B35" s="15"/>
      <c r="C35" s="18">
        <v>0.055</v>
      </c>
      <c r="D35" s="14"/>
      <c r="E35" s="14"/>
      <c r="F35" s="14"/>
      <c r="G35" s="14"/>
    </row>
    <row r="36" ht="32.05" customHeight="1">
      <c r="A36" s="10"/>
      <c r="B36" s="15"/>
      <c r="C36" s="18" cm="1">
        <f t="array" ref="C36">C35/SQRT(5)</f>
        <v>0.0245967477524977</v>
      </c>
      <c r="D36" t="s" s="13">
        <v>43</v>
      </c>
      <c r="E36" s="14"/>
      <c r="F36" s="14"/>
      <c r="G36" s="14"/>
    </row>
    <row r="37" ht="20.05" customHeight="1">
      <c r="A37" s="10"/>
      <c r="B37" s="15"/>
      <c r="C37" s="14"/>
      <c r="D37" s="14"/>
      <c r="E37" s="14"/>
      <c r="F37" s="14"/>
      <c r="G37" s="14"/>
    </row>
    <row r="38" ht="20.05" customHeight="1">
      <c r="A38" s="10"/>
      <c r="B38" s="15"/>
      <c r="C38" s="14"/>
      <c r="D38" s="14"/>
      <c r="E38" s="14"/>
      <c r="F38" s="14"/>
      <c r="G38" s="14"/>
    </row>
    <row r="39" ht="20.05" customHeight="1">
      <c r="A39" s="10"/>
      <c r="B39" s="15"/>
      <c r="C39" s="14"/>
      <c r="D39" s="14"/>
      <c r="E39" s="14"/>
      <c r="F39" s="14"/>
      <c r="G39" s="14"/>
    </row>
    <row r="40" ht="20.05" customHeight="1">
      <c r="A40" s="10"/>
      <c r="B40" s="15"/>
      <c r="C40" s="14"/>
      <c r="D40" s="14"/>
      <c r="E40" s="14"/>
      <c r="F40" s="14"/>
      <c r="G40" s="14"/>
    </row>
    <row r="41" ht="20.05" customHeight="1">
      <c r="A41" s="10"/>
      <c r="B41" s="15"/>
      <c r="C41" s="14"/>
      <c r="D41" s="14"/>
      <c r="E41" s="14"/>
      <c r="F41" s="14"/>
      <c r="G41" s="14"/>
    </row>
    <row r="42" ht="20.05" customHeight="1">
      <c r="A42" s="10"/>
      <c r="B42" s="15"/>
      <c r="C42" s="14"/>
      <c r="D42" s="14"/>
      <c r="E42" s="14"/>
      <c r="F42" s="14"/>
      <c r="G42" s="14"/>
    </row>
  </sheetData>
  <mergeCells count="1">
    <mergeCell ref="A1:G1"/>
  </mergeCells>
  <pageMargins left="0.5" right="0.5" top="0.75" bottom="0.75" header="0.277778" footer="0.277778"/>
  <pageSetup firstPageNumber="1" fitToHeight="1" fitToWidth="1" scale="72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